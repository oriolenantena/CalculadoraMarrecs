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1.xml" ContentType="application/vnd.openxmlformats-officedocument.customXmlProperties+xml"/>
  <Override PartName="/customXml/item1.xml" ContentType="application/xml"/>
  <Override PartName="/customXml/itemProps2.xml" ContentType="application/vnd.openxmlformats-officedocument.customXmlProperties+xml"/>
  <Override PartName="/customXml/item3.xml" ContentType="application/xml"/>
  <Override PartName="/customXml/item2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CALCULADORA" sheetId="1" state="visible" r:id="rId4"/>
    <sheet name="Hoja1" sheetId="2" state="visible" r:id="rId5"/>
  </sheets>
  <definedNames>
    <definedName function="false" hidden="true" name="_xleta.T" vbProcedure="false">#NAME?</definedName>
    <definedName function="false" hidden="true" name="__xleta.IF" vbProcedure="false">#NAME?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<sst xmlns="http://schemas.openxmlformats.org/spreadsheetml/2006/main" count="52" uniqueCount="44">
  <si>
    <t xml:space="preserve">DADES NUCLI FAMILIAR </t>
  </si>
  <si>
    <t xml:space="preserve">Membres nucli familiar </t>
  </si>
  <si>
    <t xml:space="preserve">Renda  del nucli familiar </t>
  </si>
  <si>
    <t xml:space="preserve">coeficient d'equivalència nucli familiar </t>
  </si>
  <si>
    <t xml:space="preserve">Trams de renda </t>
  </si>
  <si>
    <t xml:space="preserve">Percentatge</t>
  </si>
  <si>
    <t xml:space="preserve">Renda mensual nucli familiar </t>
  </si>
  <si>
    <t xml:space="preserve">Des de </t>
  </si>
  <si>
    <t xml:space="preserve">Fins </t>
  </si>
  <si>
    <t xml:space="preserve">sobre quota </t>
  </si>
  <si>
    <t xml:space="preserve">Membres del nucli familiar </t>
  </si>
  <si>
    <t xml:space="preserve">de 0 a 1 IRSC</t>
  </si>
  <si>
    <t xml:space="preserve">Renda mensual equivalent</t>
  </si>
  <si>
    <t xml:space="preserve">de 1 a 2 IRSC </t>
  </si>
  <si>
    <t xml:space="preserve">de 2 a 3 IRSC</t>
  </si>
  <si>
    <t xml:space="preserve">30/06- solo listado para calcular con boton</t>
  </si>
  <si>
    <t xml:space="preserve">de 3 a 4 IRSC </t>
  </si>
  <si>
    <t xml:space="preserve">de 4 a 5 IRSC </t>
  </si>
  <si>
    <t xml:space="preserve">Quotes</t>
  </si>
  <si>
    <t xml:space="preserve">més de 5 IRSC</t>
  </si>
  <si>
    <t xml:space="preserve">SERVEI </t>
  </si>
  <si>
    <t xml:space="preserve">bàsica</t>
  </si>
  <si>
    <t xml:space="preserve">mínima</t>
  </si>
  <si>
    <t xml:space="preserve">personal</t>
  </si>
  <si>
    <t xml:space="preserve">Escolarització</t>
  </si>
  <si>
    <t xml:space="preserve">Baixes o absències per confinament</t>
  </si>
  <si>
    <t xml:space="preserve">Menjador complert</t>
  </si>
  <si>
    <t xml:space="preserve">Menjador lactants</t>
  </si>
  <si>
    <t xml:space="preserve">Berenar </t>
  </si>
  <si>
    <t xml:space="preserve">DESCOMPTE MENJ (absències o confinament)</t>
  </si>
  <si>
    <t xml:space="preserve">DESCOMPTE MENJ (absències o confinament) LACTANTS</t>
  </si>
  <si>
    <t xml:space="preserve">Descompte laborable Nadal i Setmana Santa</t>
  </si>
  <si>
    <t xml:space="preserve">Descompte laborable Nadal i Setmana Santa LACTANTS</t>
  </si>
  <si>
    <t xml:space="preserve">Import nous alumnes menjador setembre</t>
  </si>
  <si>
    <t xml:space="preserve">Import nous alumnes menjador setembre LACTANTS</t>
  </si>
  <si>
    <t xml:space="preserve">Servei de menjador fix parcial </t>
  </si>
  <si>
    <t xml:space="preserve">3 vegades/setmana</t>
  </si>
  <si>
    <t xml:space="preserve">2 vegades/setmana</t>
  </si>
  <si>
    <t xml:space="preserve">1 vegades/setmana</t>
  </si>
  <si>
    <t xml:space="preserve">Serveis esporàdics</t>
  </si>
  <si>
    <t xml:space="preserve">Servei acollida 8:00-8:30 i 17:00-17:30</t>
  </si>
  <si>
    <t xml:space="preserve">Octubre juny</t>
  </si>
  <si>
    <t xml:space="preserve">juliol</t>
  </si>
  <si>
    <t xml:space="preserve">esporàdic 30 minuts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</si>
</sst>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_-* #,##0.00\ _€_-;\-* #,##0.00\ _€_-;_-* \-??\ _€_-;_-@_-"/>
    <numFmt numFmtId="166" formatCode="_-* #,##0.00&quot; €&quot;_-;\-* #,##0.00&quot; €&quot;_-;_-* \-??&quot; €&quot;_-;_-@_-"/>
    <numFmt numFmtId="167" formatCode="#,##0.00_);[RED]\(#,##0.00\)"/>
    <numFmt numFmtId="168" formatCode="0.0"/>
    <numFmt numFmtId="169" formatCode="0%"/>
    <numFmt numFmtId="170" formatCode="#,##0&quot; €&quot;;[RED]\-#,##0&quot; €&quot;"/>
    <numFmt numFmtId="171" formatCode="0.00"/>
    <numFmt numFmtId="172" formatCode="#,##0.00&quot; €&quot;;[RED]\-#,##0.00&quot; €&quot;"/>
    <numFmt numFmtId="173" formatCode="0.00%"/>
  </numFmts>
  <fonts count="1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MS Sans Serif"/>
      <family val="0"/>
      <charset val="1"/>
    </font>
    <font>
      <sz val="10"/>
      <name val="Arial"/>
      <family val="2"/>
      <charset val="1"/>
    </font>
    <font>
      <b val="true"/>
      <i val="true"/>
      <sz val="11"/>
      <color theme="0"/>
      <name val="Calibri"/>
      <family val="2"/>
      <charset val="1"/>
    </font>
    <font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b val="true"/>
      <sz val="11"/>
      <name val="Calibri"/>
      <family val="2"/>
      <charset val="1"/>
    </font>
    <font>
      <sz val="11"/>
      <color rgb="FFFF0000"/>
      <name val="Calibri"/>
      <family val="2"/>
      <charset val="1"/>
    </font>
    <font>
      <b val="true"/>
      <sz val="11"/>
      <color theme="1"/>
      <name val="Calibri"/>
      <family val="2"/>
      <charset val="1"/>
    </font>
    <font>
      <b val="true"/>
      <i val="true"/>
      <sz val="11"/>
      <color theme="9" tint="-0.5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theme="9" tint="-0.5"/>
        <bgColor rgb="FF333300"/>
      </patternFill>
    </fill>
    <fill>
      <patternFill patternType="solid">
        <fgColor theme="9" tint="0.5999"/>
        <bgColor rgb="FFCCFFCC"/>
      </patternFill>
    </fill>
    <fill>
      <patternFill patternType="solid">
        <fgColor rgb="FFFFFF00"/>
        <bgColor rgb="FFFFFF00"/>
      </patternFill>
    </fill>
    <fill>
      <patternFill patternType="solid">
        <fgColor theme="9" tint="-0.25"/>
        <bgColor rgb="FF339966"/>
      </patternFill>
    </fill>
  </fills>
  <borders count="35">
    <border diagonalUp="false" diagonalDown="false">
      <left/>
      <right/>
      <top/>
      <bottom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ck"/>
      <right style="medium"/>
      <top style="thick"/>
      <bottom style="thick"/>
      <diagonal/>
    </border>
    <border diagonalUp="false" diagonalDown="false">
      <left style="medium"/>
      <right/>
      <top style="thick"/>
      <bottom style="thick"/>
      <diagonal/>
    </border>
    <border diagonalUp="false" diagonalDown="false">
      <left/>
      <right style="thick"/>
      <top style="thick"/>
      <bottom style="thick"/>
      <diagonal/>
    </border>
    <border diagonalUp="false" diagonalDown="false">
      <left style="thick"/>
      <right style="thick"/>
      <top style="thick"/>
      <bottom style="thin"/>
      <diagonal/>
    </border>
    <border diagonalUp="false" diagonalDown="false">
      <left style="thick"/>
      <right/>
      <top style="thick"/>
      <bottom/>
      <diagonal/>
    </border>
    <border diagonalUp="false" diagonalDown="false">
      <left/>
      <right/>
      <top style="thick"/>
      <bottom/>
      <diagonal/>
    </border>
    <border diagonalUp="false" diagonalDown="false">
      <left/>
      <right style="thick"/>
      <top style="thick"/>
      <bottom/>
      <diagonal/>
    </border>
    <border diagonalUp="false" diagonalDown="false">
      <left style="thick"/>
      <right/>
      <top/>
      <bottom style="thick"/>
      <diagonal/>
    </border>
    <border diagonalUp="false" diagonalDown="false">
      <left/>
      <right style="thick"/>
      <top/>
      <bottom style="thick"/>
      <diagonal/>
    </border>
    <border diagonalUp="false" diagonalDown="false">
      <left style="thick"/>
      <right style="thick"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/>
      <right/>
      <top style="thick"/>
      <bottom style="thick"/>
      <diagonal/>
    </border>
    <border diagonalUp="false" diagonalDown="false">
      <left style="thick"/>
      <right/>
      <top/>
      <bottom/>
      <diagonal/>
    </border>
    <border diagonalUp="false" diagonalDown="false">
      <left/>
      <right style="thick"/>
      <top/>
      <bottom/>
      <diagonal/>
    </border>
    <border diagonalUp="false" diagonalDown="false">
      <left style="thick"/>
      <right style="thick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8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3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3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7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0" fillId="3" borderId="8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9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2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3" borderId="1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4" borderId="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4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8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14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5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0" fillId="3" borderId="4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4" borderId="1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4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17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1" fillId="3" borderId="18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3" borderId="18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19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4" borderId="9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4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9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1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3" borderId="1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20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20" xfId="2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4" borderId="19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2" fillId="3" borderId="19" xfId="1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3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21" xfId="2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4" borderId="22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4" borderId="21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23" xfId="2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4" borderId="24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4" borderId="23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25" xfId="2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4" borderId="2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0" borderId="25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27" xfId="2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4" borderId="27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0" borderId="19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19" xfId="2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0" xfId="2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28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9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30" xfId="2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30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31" xfId="2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4" borderId="32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0" borderId="32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26" xfId="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9" fillId="4" borderId="33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0" borderId="33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4" borderId="34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0" borderId="34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Millares 2" xfId="20"/>
    <cellStyle name="Millares 3" xfId="21"/>
    <cellStyle name="Moneda 2" xfId="22"/>
    <cellStyle name="Moneda 3" xfId="23"/>
    <cellStyle name="Normal 2" xfId="24"/>
    <cellStyle name="Normal 2 2" xfId="25"/>
    <cellStyle name="Normal 3" xfId="26"/>
    <cellStyle name="Normal 4" xfId="27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85724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<Relationship Id="rId7" Type="http://schemas.openxmlformats.org/officeDocument/2006/relationships/customXml" Target="../customXml/item2.xml"/>
</Relationships>
</file>

<file path=xl/theme/theme1.xml><?xml version="1.0" encoding="utf-8"?>
<a:theme xmlns:a="http://schemas.openxmlformats.org/drawingml/2006/main" xmlns:r="http://schemas.openxmlformats.org/officeDocument/2006/relationships" name="Tema d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42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K11" activeCellId="0" sqref="K11"/>
    </sheetView>
  </sheetViews>
  <sheetFormatPr defaultColWidth="11.2890625" defaultRowHeight="15" customHeight="true" zeroHeight="false" outlineLevelRow="0" outlineLevelCol="0"/>
  <cols>
    <col collapsed="false" customWidth="true" hidden="false" outlineLevel="0" max="1" min="1" style="0" width="52.57"/>
    <col collapsed="false" customWidth="true" hidden="false" outlineLevel="0" max="2" min="2" style="0" width="12"/>
    <col collapsed="false" customWidth="true" hidden="false" outlineLevel="0" max="3" min="3" style="0" width="12.29"/>
    <col collapsed="false" customWidth="true" hidden="false" outlineLevel="0" max="9" min="9" style="0" width="2.71"/>
    <col collapsed="false" customWidth="true" hidden="false" outlineLevel="0" max="10" min="10" style="0" width="13.14"/>
  </cols>
  <sheetData>
    <row r="1" customFormat="false" ht="15" hidden="false" customHeight="true" outlineLevel="0" collapsed="false">
      <c r="A1" s="1" t="s">
        <v>0</v>
      </c>
      <c r="B1" s="1"/>
      <c r="C1" s="1"/>
      <c r="F1" s="2" t="s">
        <v>1</v>
      </c>
      <c r="G1" s="3" t="s">
        <v>2</v>
      </c>
      <c r="H1" s="4" t="s">
        <v>3</v>
      </c>
      <c r="K1" s="5" t="s">
        <v>4</v>
      </c>
      <c r="L1" s="5"/>
      <c r="M1" s="6" t="s">
        <v>5</v>
      </c>
    </row>
    <row r="2" customFormat="false" ht="15" hidden="false" customHeight="false" outlineLevel="0" collapsed="false">
      <c r="A2" s="7" t="s">
        <v>6</v>
      </c>
      <c r="B2" s="8"/>
      <c r="C2" s="9" t="n">
        <v>32000</v>
      </c>
      <c r="F2" s="2"/>
      <c r="G2" s="3"/>
      <c r="H2" s="4"/>
      <c r="J2" s="10"/>
      <c r="K2" s="11" t="s">
        <v>7</v>
      </c>
      <c r="L2" s="12" t="s">
        <v>8</v>
      </c>
      <c r="M2" s="13" t="s">
        <v>9</v>
      </c>
    </row>
    <row r="3" customFormat="false" ht="15" hidden="false" customHeight="false" outlineLevel="0" collapsed="false">
      <c r="A3" s="14" t="s">
        <v>10</v>
      </c>
      <c r="B3" s="15"/>
      <c r="C3" s="16" t="n">
        <v>3</v>
      </c>
      <c r="F3" s="2"/>
      <c r="G3" s="3"/>
      <c r="H3" s="4"/>
      <c r="M3" s="17" t="n">
        <v>0</v>
      </c>
    </row>
    <row r="4" customFormat="false" ht="15" hidden="false" customHeight="false" outlineLevel="0" collapsed="false">
      <c r="E4" s="18"/>
      <c r="F4" s="19" t="n">
        <v>2</v>
      </c>
      <c r="G4" s="20" t="n">
        <v>9341.92</v>
      </c>
      <c r="H4" s="21" t="n">
        <f aca="false">SQRT(F4)/SQRT(2)</f>
        <v>1</v>
      </c>
      <c r="J4" s="22" t="s">
        <v>11</v>
      </c>
      <c r="K4" s="23" t="n">
        <f aca="false">G4*0</f>
        <v>0</v>
      </c>
      <c r="L4" s="24" t="n">
        <f aca="false">G4*1</f>
        <v>9341.92</v>
      </c>
      <c r="M4" s="17" t="n">
        <v>0.1</v>
      </c>
    </row>
    <row r="5" customFormat="false" ht="15" hidden="false" customHeight="false" outlineLevel="0" collapsed="false">
      <c r="A5" s="25" t="s">
        <v>12</v>
      </c>
      <c r="B5" s="26"/>
      <c r="C5" s="27" t="n">
        <f aca="false">C2/(SQRT(C3)/SQRT(2))</f>
        <v>26127.8905896872</v>
      </c>
      <c r="F5" s="28" t="n">
        <v>3</v>
      </c>
      <c r="G5" s="29" t="n">
        <f aca="false">G$4*H5</f>
        <v>11441.4686089505</v>
      </c>
      <c r="H5" s="30" t="n">
        <f aca="false">SQRT(F5)/SQRT(2)</f>
        <v>1.22474487139159</v>
      </c>
      <c r="J5" s="31" t="s">
        <v>13</v>
      </c>
      <c r="K5" s="32" t="n">
        <f aca="false">G4*1+0.01</f>
        <v>9341.93</v>
      </c>
      <c r="L5" s="33" t="n">
        <f aca="false">G4*2</f>
        <v>18683.84</v>
      </c>
      <c r="M5" s="34" t="n">
        <v>0.25</v>
      </c>
    </row>
    <row r="6" customFormat="false" ht="16.5" hidden="false" customHeight="true" outlineLevel="0" collapsed="false">
      <c r="F6" s="28" t="n">
        <v>4</v>
      </c>
      <c r="G6" s="29" t="n">
        <f aca="false">G$4*H6</f>
        <v>13211.4699626045</v>
      </c>
      <c r="H6" s="30" t="n">
        <f aca="false">SQRT(F6)/SQRT(2)</f>
        <v>1.4142135623731</v>
      </c>
      <c r="J6" s="31" t="s">
        <v>14</v>
      </c>
      <c r="K6" s="32" t="n">
        <f aca="false">G4*2+0.01</f>
        <v>18683.85</v>
      </c>
      <c r="L6" s="33" t="n">
        <f aca="false">G4*3</f>
        <v>28025.76</v>
      </c>
      <c r="M6" s="34" t="n">
        <v>0.55</v>
      </c>
    </row>
    <row r="7" customFormat="false" ht="15" hidden="false" customHeight="false" outlineLevel="0" collapsed="false">
      <c r="A7" s="35" t="s">
        <v>15</v>
      </c>
      <c r="F7" s="28" t="n">
        <v>5</v>
      </c>
      <c r="G7" s="29" t="n">
        <f aca="false">G$4*H7</f>
        <v>14770.8724595401</v>
      </c>
      <c r="H7" s="30" t="n">
        <f aca="false">SQRT(F7)/SQRT(2)</f>
        <v>1.58113883008419</v>
      </c>
      <c r="J7" s="31" t="s">
        <v>16</v>
      </c>
      <c r="K7" s="32" t="n">
        <f aca="false">G4*3+0.01</f>
        <v>28025.77</v>
      </c>
      <c r="L7" s="33" t="n">
        <f aca="false">G4*4</f>
        <v>37367.68</v>
      </c>
      <c r="M7" s="34" t="n">
        <v>0.95</v>
      </c>
    </row>
    <row r="8" customFormat="false" ht="15" hidden="false" customHeight="false" outlineLevel="0" collapsed="false">
      <c r="F8" s="28" t="n">
        <v>6</v>
      </c>
      <c r="G8" s="29" t="n">
        <f aca="false">G$4*H8</f>
        <v>16180.6800802438</v>
      </c>
      <c r="H8" s="30" t="n">
        <f aca="false">SQRT(F8)/SQRT(2)</f>
        <v>1.73205080756888</v>
      </c>
      <c r="J8" s="31" t="s">
        <v>17</v>
      </c>
      <c r="K8" s="32" t="n">
        <f aca="false">G4*4+0.01</f>
        <v>37367.69</v>
      </c>
      <c r="L8" s="33" t="n">
        <f aca="false">G4*5</f>
        <v>46709.6</v>
      </c>
      <c r="M8" s="36" t="n">
        <v>1</v>
      </c>
    </row>
    <row r="9" customFormat="false" ht="15" hidden="false" customHeight="false" outlineLevel="0" collapsed="false">
      <c r="B9" s="37" t="s">
        <v>18</v>
      </c>
      <c r="C9" s="37"/>
      <c r="D9" s="37"/>
      <c r="F9" s="38" t="n">
        <v>7</v>
      </c>
      <c r="G9" s="39" t="n">
        <f aca="false">G$4*H9</f>
        <v>17477.1319873256</v>
      </c>
      <c r="H9" s="40" t="n">
        <f aca="false">SQRT(F9)/SQRT(2)</f>
        <v>1.87082869338697</v>
      </c>
      <c r="J9" s="41" t="s">
        <v>19</v>
      </c>
      <c r="K9" s="42" t="n">
        <f aca="false">G4*5+0.01</f>
        <v>46709.61</v>
      </c>
      <c r="L9" s="43"/>
      <c r="M9" s="44" t="n">
        <v>1</v>
      </c>
    </row>
    <row r="10" customFormat="false" ht="15" hidden="false" customHeight="false" outlineLevel="0" collapsed="false">
      <c r="A10" s="45" t="s">
        <v>20</v>
      </c>
      <c r="B10" s="37" t="s">
        <v>21</v>
      </c>
      <c r="C10" s="37" t="s">
        <v>22</v>
      </c>
      <c r="D10" s="37" t="s">
        <v>23</v>
      </c>
    </row>
    <row r="11" customFormat="false" ht="15" hidden="false" customHeight="false" outlineLevel="0" collapsed="false">
      <c r="A11" s="46" t="s">
        <v>24</v>
      </c>
      <c r="B11" s="47" t="n">
        <v>226.2</v>
      </c>
      <c r="C11" s="47" t="n">
        <v>10.5</v>
      </c>
      <c r="D11" s="48" t="e">
        <f aca="false" t="array" ref="D11:D11">INTERPOLAFILAFINAL(B11, C11, $C$5)</f>
        <v>#VALUE!</v>
      </c>
      <c r="F11" s="49"/>
      <c r="G11" s="50"/>
    </row>
    <row r="12" customFormat="false" ht="15" hidden="false" customHeight="false" outlineLevel="0" collapsed="false">
      <c r="A12" s="46" t="s">
        <v>25</v>
      </c>
      <c r="B12" s="47" t="n">
        <v>7.35</v>
      </c>
      <c r="C12" s="47" t="n">
        <v>0</v>
      </c>
      <c r="D12" s="48" t="e">
        <f aca="false" t="array" ref="D12:D12">INTERPOLAFILAFINAL(B12, C12, $C$5)</f>
        <v>#VALUE!</v>
      </c>
      <c r="E12" s="51"/>
      <c r="F12" s="49"/>
      <c r="G12" s="50"/>
    </row>
    <row r="13" customFormat="false" ht="15" hidden="false" customHeight="false" outlineLevel="0" collapsed="false">
      <c r="E13" s="51"/>
      <c r="F13" s="49"/>
      <c r="G13" s="50"/>
    </row>
    <row r="14" customFormat="false" ht="15" hidden="false" customHeight="false" outlineLevel="0" collapsed="false">
      <c r="A14" s="52" t="s">
        <v>26</v>
      </c>
      <c r="B14" s="53" t="n">
        <v>167.9</v>
      </c>
      <c r="C14" s="54" t="n">
        <v>5.25</v>
      </c>
      <c r="D14" s="48" t="e">
        <f aca="false" t="array" ref="D14:D14">INTERPOLAFILAFINAL(B14, C14, $C$5)</f>
        <v>#VALUE!</v>
      </c>
      <c r="E14" s="51"/>
      <c r="F14" s="49"/>
      <c r="G14" s="50"/>
    </row>
    <row r="15" customFormat="false" ht="15" hidden="false" customHeight="false" outlineLevel="0" collapsed="false">
      <c r="A15" s="55" t="s">
        <v>27</v>
      </c>
      <c r="B15" s="56" t="n">
        <v>83.95</v>
      </c>
      <c r="C15" s="57" t="n">
        <v>5.25</v>
      </c>
      <c r="D15" s="48" t="e">
        <f aca="false" t="array" ref="D15:D15">INTERPOLAFILAFINAL(B15, C15, $C$5)</f>
        <v>#VALUE!</v>
      </c>
      <c r="E15" s="51"/>
      <c r="F15" s="49"/>
      <c r="G15" s="50"/>
    </row>
    <row r="16" customFormat="false" ht="15" hidden="false" customHeight="false" outlineLevel="0" collapsed="false">
      <c r="A16" s="58" t="s">
        <v>28</v>
      </c>
      <c r="B16" s="59" t="n">
        <v>0.7</v>
      </c>
      <c r="C16" s="60" t="n">
        <v>0</v>
      </c>
      <c r="D16" s="48" t="e">
        <f aca="false" t="array" ref="D16:D16">INTERPOLAFILAFINAL(B16, C16, $C$5)</f>
        <v>#VALUE!</v>
      </c>
      <c r="E16" s="51"/>
      <c r="F16" s="49"/>
      <c r="G16" s="50"/>
      <c r="H16" s="50"/>
    </row>
    <row r="17" customFormat="false" ht="15" hidden="false" customHeight="false" outlineLevel="0" collapsed="false">
      <c r="A17" s="61" t="s">
        <v>29</v>
      </c>
      <c r="B17" s="62" t="n">
        <v>3.1</v>
      </c>
      <c r="C17" s="63" t="n">
        <v>0</v>
      </c>
      <c r="D17" s="48" t="e">
        <f aca="false" t="array" ref="D17:D17">INTERPOLAFILAFINAL(B17, C17, $C$5)</f>
        <v>#VALUE!</v>
      </c>
      <c r="E17" s="51"/>
      <c r="F17" s="49"/>
      <c r="G17" s="50"/>
      <c r="J17" s="64"/>
    </row>
    <row r="18" customFormat="false" ht="15" hidden="false" customHeight="false" outlineLevel="0" collapsed="false">
      <c r="A18" s="61" t="s">
        <v>30</v>
      </c>
      <c r="B18" s="62" t="n">
        <v>1.55</v>
      </c>
      <c r="C18" s="63" t="n">
        <v>0</v>
      </c>
      <c r="D18" s="48" t="e">
        <f aca="false" t="array" ref="D18:D18">INTERPOLAFILAFINAL(B18, C18, $C$5)</f>
        <v>#VALUE!</v>
      </c>
      <c r="E18" s="51"/>
      <c r="F18" s="49"/>
      <c r="J18" s="64"/>
    </row>
    <row r="19" customFormat="false" ht="15" hidden="false" customHeight="false" outlineLevel="0" collapsed="false">
      <c r="A19" s="65" t="s">
        <v>31</v>
      </c>
      <c r="B19" s="47" t="n">
        <v>7.2</v>
      </c>
      <c r="C19" s="63" t="n">
        <v>0</v>
      </c>
      <c r="D19" s="48" t="e">
        <f aca="false" t="array" ref="D19:D19">INTERPOLAFILAFINAL(B19, C19, $C$5)</f>
        <v>#VALUE!</v>
      </c>
      <c r="E19" s="51"/>
      <c r="F19" s="49"/>
    </row>
    <row r="20" customFormat="false" ht="15" hidden="false" customHeight="false" outlineLevel="0" collapsed="false">
      <c r="A20" s="65" t="s">
        <v>32</v>
      </c>
      <c r="B20" s="47" t="n">
        <v>3.6</v>
      </c>
      <c r="C20" s="63" t="n">
        <v>0</v>
      </c>
      <c r="D20" s="48" t="e">
        <f aca="false" t="array" ref="D20:D20">INTERPOLAFILAFINAL(B20, C20, $C$5)</f>
        <v>#VALUE!</v>
      </c>
      <c r="E20" s="51"/>
      <c r="F20" s="49"/>
    </row>
    <row r="21" customFormat="false" ht="15" hidden="false" customHeight="false" outlineLevel="0" collapsed="false">
      <c r="A21" s="65" t="s">
        <v>33</v>
      </c>
      <c r="B21" s="63" t="n">
        <v>7</v>
      </c>
      <c r="C21" s="63" t="n">
        <v>0</v>
      </c>
      <c r="D21" s="48" t="e">
        <f aca="false" t="array" ref="D21:D21">INTERPOLAFILAFINAL(B21, C21, $C$5)</f>
        <v>#VALUE!</v>
      </c>
      <c r="E21" s="51"/>
      <c r="F21" s="49"/>
    </row>
    <row r="22" customFormat="false" ht="15" hidden="false" customHeight="false" outlineLevel="0" collapsed="false">
      <c r="A22" s="65" t="s">
        <v>34</v>
      </c>
      <c r="B22" s="47" t="n">
        <v>3.5</v>
      </c>
      <c r="C22" s="63" t="n">
        <v>0</v>
      </c>
      <c r="D22" s="48" t="e">
        <f aca="false" t="array" ref="D22:D22">INTERPOLAFILAFINAL(B22, C22, $C$5)</f>
        <v>#VALUE!</v>
      </c>
      <c r="E22" s="51"/>
      <c r="F22" s="49"/>
    </row>
    <row r="23" customFormat="false" ht="15" hidden="false" customHeight="false" outlineLevel="0" collapsed="false">
      <c r="D23" s="66"/>
      <c r="E23" s="51"/>
      <c r="F23" s="49"/>
    </row>
    <row r="24" customFormat="false" ht="15" hidden="false" customHeight="false" outlineLevel="0" collapsed="false">
      <c r="A24" s="67" t="s">
        <v>35</v>
      </c>
      <c r="B24" s="67"/>
      <c r="C24" s="67"/>
      <c r="D24" s="67"/>
      <c r="E24" s="51"/>
      <c r="F24" s="49"/>
    </row>
    <row r="25" customFormat="false" ht="15" hidden="false" customHeight="false" outlineLevel="0" collapsed="false">
      <c r="A25" s="68" t="s">
        <v>36</v>
      </c>
      <c r="B25" s="68"/>
      <c r="C25" s="68"/>
      <c r="D25" s="68"/>
      <c r="E25" s="51"/>
      <c r="F25" s="49"/>
    </row>
    <row r="26" customFormat="false" ht="15" hidden="false" customHeight="false" outlineLevel="0" collapsed="false">
      <c r="A26" s="69" t="s">
        <v>26</v>
      </c>
      <c r="B26" s="47" t="n">
        <v>160.7</v>
      </c>
      <c r="C26" s="47" t="n">
        <v>3.1</v>
      </c>
      <c r="D26" s="48" t="e">
        <f aca="false" t="array" ref="D26:D26">INTERPOLAFILAFINAL(B26, C26, $C$5)</f>
        <v>#VALUE!</v>
      </c>
      <c r="E26" s="51"/>
      <c r="F26" s="49"/>
    </row>
    <row r="27" customFormat="false" ht="15" hidden="false" customHeight="false" outlineLevel="0" collapsed="false">
      <c r="A27" s="69" t="s">
        <v>27</v>
      </c>
      <c r="B27" s="47" t="n">
        <v>80.35</v>
      </c>
      <c r="C27" s="63" t="n">
        <v>0</v>
      </c>
      <c r="D27" s="48" t="e">
        <f aca="false" t="array" ref="D27:D27">INTERPOLAFILAFINAL(B27, C27, $C$5)</f>
        <v>#VALUE!</v>
      </c>
      <c r="E27" s="51"/>
      <c r="F27" s="49"/>
    </row>
    <row r="28" customFormat="false" ht="15" hidden="false" customHeight="false" outlineLevel="0" collapsed="false">
      <c r="A28" s="70" t="s">
        <v>37</v>
      </c>
      <c r="B28" s="70"/>
      <c r="C28" s="70"/>
      <c r="D28" s="70"/>
      <c r="E28" s="51"/>
      <c r="F28" s="49"/>
    </row>
    <row r="29" customFormat="false" ht="15" hidden="false" customHeight="false" outlineLevel="0" collapsed="false">
      <c r="A29" s="69" t="s">
        <v>26</v>
      </c>
      <c r="B29" s="47" t="n">
        <v>107.2</v>
      </c>
      <c r="C29" s="47" t="n">
        <v>2.1</v>
      </c>
      <c r="D29" s="48" t="e">
        <f aca="false" t="array" ref="D29:D29">INTERPOLAFILAFINAL(B29, C29, $C$5)</f>
        <v>#VALUE!</v>
      </c>
      <c r="E29" s="51"/>
      <c r="F29" s="49"/>
    </row>
    <row r="30" customFormat="false" ht="15" hidden="false" customHeight="false" outlineLevel="0" collapsed="false">
      <c r="A30" s="69" t="s">
        <v>27</v>
      </c>
      <c r="B30" s="47" t="n">
        <v>53.6</v>
      </c>
      <c r="C30" s="63" t="n">
        <v>0</v>
      </c>
      <c r="D30" s="48" t="e">
        <f aca="false" t="array" ref="D30:D30">INTERPOLAFILAFINAL(B30, C30, $C$5)</f>
        <v>#VALUE!</v>
      </c>
      <c r="E30" s="51"/>
      <c r="F30" s="49"/>
    </row>
    <row r="31" customFormat="false" ht="15" hidden="false" customHeight="false" outlineLevel="0" collapsed="false">
      <c r="A31" s="70" t="s">
        <v>38</v>
      </c>
      <c r="B31" s="70"/>
      <c r="C31" s="70"/>
      <c r="D31" s="70"/>
      <c r="E31" s="51"/>
      <c r="F31" s="49"/>
    </row>
    <row r="32" customFormat="false" ht="15" hidden="false" customHeight="false" outlineLevel="0" collapsed="false">
      <c r="A32" s="69" t="s">
        <v>26</v>
      </c>
      <c r="B32" s="47" t="n">
        <v>53.6</v>
      </c>
      <c r="C32" s="47" t="n">
        <v>1.05</v>
      </c>
      <c r="D32" s="48" t="e">
        <f aca="false" t="array" ref="D32:D32">INTERPOLAFILAFINAL(B32, C32, $C$5)</f>
        <v>#VALUE!</v>
      </c>
      <c r="E32" s="51"/>
      <c r="F32" s="49"/>
    </row>
    <row r="33" customFormat="false" ht="15" hidden="false" customHeight="false" outlineLevel="0" collapsed="false">
      <c r="A33" s="71" t="s">
        <v>27</v>
      </c>
      <c r="B33" s="72" t="n">
        <v>26.8</v>
      </c>
      <c r="C33" s="73" t="n">
        <v>0</v>
      </c>
      <c r="D33" s="48" t="e">
        <f aca="false" t="array" ref="D33:D33">INTERPOLAFILAFINAL(B33, C33, $C$5)</f>
        <v>#VALUE!</v>
      </c>
      <c r="E33" s="51"/>
      <c r="F33" s="49"/>
    </row>
    <row r="34" customFormat="false" ht="15" hidden="false" customHeight="false" outlineLevel="0" collapsed="false">
      <c r="B34" s="74"/>
      <c r="D34" s="51"/>
      <c r="E34" s="51"/>
      <c r="F34" s="49"/>
    </row>
    <row r="35" customFormat="false" ht="15" hidden="false" customHeight="false" outlineLevel="0" collapsed="false">
      <c r="A35" s="75" t="s">
        <v>39</v>
      </c>
      <c r="B35" s="75"/>
      <c r="C35" s="75"/>
      <c r="D35" s="75"/>
      <c r="E35" s="51"/>
      <c r="F35" s="49"/>
    </row>
    <row r="36" customFormat="false" ht="15" hidden="false" customHeight="false" outlineLevel="0" collapsed="false">
      <c r="A36" s="52" t="s">
        <v>26</v>
      </c>
      <c r="B36" s="76" t="n">
        <v>13.6</v>
      </c>
      <c r="C36" s="77" t="n">
        <v>0</v>
      </c>
      <c r="D36" s="48" t="e">
        <f aca="false" t="array" ref="D36:D36">INTERPOLAFILAFINAL(B36, C36, $C$5)</f>
        <v>#VALUE!</v>
      </c>
      <c r="E36" s="51"/>
      <c r="F36" s="49"/>
    </row>
    <row r="37" customFormat="false" ht="15" hidden="false" customHeight="false" outlineLevel="0" collapsed="false">
      <c r="A37" s="58" t="s">
        <v>27</v>
      </c>
      <c r="B37" s="78" t="n">
        <v>6.8</v>
      </c>
      <c r="C37" s="79" t="n">
        <v>0</v>
      </c>
      <c r="D37" s="48" t="e">
        <f aca="false" t="array" ref="D37:D37">INTERPOLAFILAFINAL(B37, C37, $C$5)</f>
        <v>#VALUE!</v>
      </c>
      <c r="E37" s="51"/>
      <c r="F37" s="49"/>
    </row>
    <row r="38" customFormat="false" ht="15" hidden="false" customHeight="false" outlineLevel="0" collapsed="false">
      <c r="E38" s="51"/>
      <c r="F38" s="49"/>
    </row>
    <row r="39" customFormat="false" ht="15" hidden="false" customHeight="false" outlineLevel="0" collapsed="false">
      <c r="A39" s="75" t="s">
        <v>40</v>
      </c>
      <c r="B39" s="75"/>
      <c r="C39" s="75"/>
      <c r="D39" s="75"/>
      <c r="E39" s="51"/>
      <c r="F39" s="49"/>
    </row>
    <row r="40" customFormat="false" ht="15" hidden="false" customHeight="false" outlineLevel="0" collapsed="false">
      <c r="A40" s="52" t="s">
        <v>41</v>
      </c>
      <c r="B40" s="76" t="n">
        <v>30.15</v>
      </c>
      <c r="C40" s="77" t="n">
        <v>0</v>
      </c>
      <c r="D40" s="48" t="e">
        <f aca="false" t="array" ref="D40:D40">INTERPOLAFILAFINAL(B40, C40, $C$5)</f>
        <v>#VALUE!</v>
      </c>
      <c r="E40" s="51"/>
      <c r="F40" s="49"/>
    </row>
    <row r="41" customFormat="false" ht="15" hidden="false" customHeight="false" outlineLevel="0" collapsed="false">
      <c r="A41" s="58" t="s">
        <v>42</v>
      </c>
      <c r="B41" s="78" t="n">
        <v>15.1</v>
      </c>
      <c r="C41" s="79" t="n">
        <v>0</v>
      </c>
      <c r="D41" s="48" t="e">
        <f aca="false" t="array" ref="D41:D41">INTERPOLAFILAFINAL(B41, C41, $C$5)</f>
        <v>#VALUE!</v>
      </c>
      <c r="E41" s="51"/>
      <c r="F41" s="49"/>
    </row>
    <row r="42" customFormat="false" ht="15" hidden="false" customHeight="false" outlineLevel="0" collapsed="false">
      <c r="A42" s="58" t="s">
        <v>43</v>
      </c>
      <c r="B42" s="78" t="n">
        <v>3.25</v>
      </c>
      <c r="C42" s="79" t="n">
        <v>0</v>
      </c>
      <c r="D42" s="48" t="e">
        <f aca="false" t="array" ref="D42:D42">INTERPOLAFILAFINAL(B42, C42, $C$5)</f>
        <v>#VALUE!</v>
      </c>
      <c r="E42" s="51"/>
      <c r="F42" s="49"/>
    </row>
  </sheetData>
  <mergeCells count="12">
    <mergeCell ref="A1:C1"/>
    <mergeCell ref="F1:F3"/>
    <mergeCell ref="G1:G3"/>
    <mergeCell ref="H1:H3"/>
    <mergeCell ref="K1:L1"/>
    <mergeCell ref="B9:D9"/>
    <mergeCell ref="A24:D24"/>
    <mergeCell ref="A25:D25"/>
    <mergeCell ref="A28:D28"/>
    <mergeCell ref="A31:D31"/>
    <mergeCell ref="A35:D35"/>
    <mergeCell ref="A39:D39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27" activeCellId="0" sqref="F27"/>
    </sheetView>
  </sheetViews>
  <sheetFormatPr defaultColWidth="10.5390625" defaultRowHeight="15" customHeight="true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821502F3B9374FAD19BA38D555EAB7" ma:contentTypeVersion="0" ma:contentTypeDescription="Crea un document nou" ma:contentTypeScope="" ma:versionID="20362138508005e277a2f757521fbf8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5ded435ed922d5b7908982568d9150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6DF8EA-1658-4473-9333-20A53D7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297BA1-65A5-405C-895C-B6DD3B4EF9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07F6F5C-6587-4A6B-83DB-C9DEDEAEEE9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LibreOffice/25.8.3.2$Linux_X86_64 LibreOffice_project/580$Build-2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2020-06-30T08:20:28Z</dcterms:created>
  <dc:creator>delirisq</dc:creator>
  <dc:description/>
  <dc:language>en-US</dc:language>
  <cp:lastModifiedBy/>
  <dcterms:modified xsi:type="dcterms:W3CDTF">2025-12-17T12:04:10Z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0x01010000821502F3B9374FAD19BA38D555EAB7</vt:lpwstr>
  </property>
</Properties>
</file>